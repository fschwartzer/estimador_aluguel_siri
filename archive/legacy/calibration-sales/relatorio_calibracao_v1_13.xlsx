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18dc1b944745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ac994bceb11f449f"/>
    <x:sheet xmlns:r="http://schemas.openxmlformats.org/officeDocument/2006/relationships" name="Parametros" sheetId="2" r:id="R5a7fe8573cca4675"/>
    <x:sheet xmlns:r="http://schemas.openxmlformats.org/officeDocument/2006/relationships" name="Finalidades" sheetId="3" r:id="R757107a7a6ce4de3"/>
    <x:sheet xmlns:r="http://schemas.openxmlformats.org/officeDocument/2006/relationships" name="Metodologia" sheetId="4" r:id="Rdb490ffad2344e58"/>
    <x:sheet xmlns:r="http://schemas.openxmlformats.org/officeDocument/2006/relationships" name="Busca" sheetId="5" r:id="Rfaea8cd5d1cd48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"/>
    <x:numFmt numFmtId="201" formatCode="0.0000"/>
    <x:numFmt numFmtId="202" formatCode="0.000"/>
    <x:numFmt numFmtId="203" formatCode="0.0"/>
    <x:numFmt numFmtId="204" formatCode="0.00"/>
  </x:numFmts>
  <x:fonts count="3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E7C7B"/>
      </x:patternFill>
    </x:fill>
    <x:fill>
      <x:patternFill patternType="solid">
        <x:fgColor rgb="FF173B57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c3df0b5e644e5d" /><Relationship Type="http://schemas.openxmlformats.org/officeDocument/2006/relationships/theme" Target="/xl/theme/theme1.xml" Id="Rba40279aaed749d0" /><Relationship Type="http://schemas.openxmlformats.org/officeDocument/2006/relationships/sharedStrings" Target="/xl/sharedStrings.xml" Id="R8dfac3a6d1a14bc9" /><Relationship Type="http://schemas.openxmlformats.org/officeDocument/2006/relationships/worksheet" Target="/xl/worksheets/sheet1.xml" Id="Rac994bceb11f449f" /><Relationship Type="http://schemas.openxmlformats.org/officeDocument/2006/relationships/worksheet" Target="/xl/worksheets/sheet2.xml" Id="R5a7fe8573cca4675" /><Relationship Type="http://schemas.openxmlformats.org/officeDocument/2006/relationships/worksheet" Target="/xl/worksheets/sheet3.xml" Id="R757107a7a6ce4de3" /><Relationship Type="http://schemas.openxmlformats.org/officeDocument/2006/relationships/worksheet" Target="/xl/worksheets/sheet4.xml" Id="Rdb490ffad2344e58" /><Relationship Type="http://schemas.openxmlformats.org/officeDocument/2006/relationships/worksheet" Target="/xl/worksheets/sheet5.xml" Id="Rfaea8cd5d1cd48e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0589778b2f6430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MdAPE por finalidade: versão 1.12 × 1.13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MdAPE 1.12</c:v>
          </c:tx>
          <c:cat>
            <c:strRef>
              <c:f>'Finalidades'!$A$2:$A$10</c:f>
              <c:strCache>
                <c:ptCount val="0"/>
              </c:strCache>
            </c:strRef>
          </c:cat>
          <c:val>
            <c:numRef>
              <c:f>'Finalidades'!$B$2:$B$10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MdAPE 1.13</c:v>
          </c:tx>
          <c:cat>
            <c:strRef>
              <c:f>'Finalidades'!$A$2:$A$10</c:f>
              <c:strCache>
                <c:ptCount val="0"/>
              </c:strCache>
            </c:strRef>
          </c:cat>
          <c:val>
            <c:numRef>
              <c:f>'Finalidades'!$C$2:$C$10</c:f>
              <c:numCache>
                <c:formatCode>0.0%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0589778b2f6430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sumoValidacao" displayName="ResumoValidacao" ref="A15:H27" headerRowCount="1">
  <x:tableColumns count="8">
    <x:tableColumn id="1" name="Conjunto"/>
    <x:tableColumn id="2" name="Configuração"/>
    <x:tableColumn id="3" name="Score"/>
    <x:tableColumn id="4" name="MdAPE"/>
    <x:tableColumn id="5" name="MdAPE macro por finalidade"/>
    <x:tableColumn id="6" name="P90 do erro percentual"/>
    <x:tableColumn id="7" name="Razão mediana estimado/observado"/>
    <x:tableColumn id="8" name="Observações"/>
  </x:tableColumns>
  <x:tableStyleInfo name="TableStyleMedium2" showRowStripes="1"/>
</x:table>
</file>

<file path=xl/tables/table2.xml><?xml version="1.0" encoding="utf-8"?>
<x:table xmlns:x="http://schemas.openxmlformats.org/spreadsheetml/2006/main" id="2" name="ParametrosCalibrados" displayName="ParametrosCalibrados" ref="A1:K5" headerRowCount="1">
  <x:tableColumns count="11">
    <x:tableColumn id="1" name="Finalidade"/>
    <x:tableColumn id="2" name="Perfil"/>
    <x:tableColumn id="3" name="K inicial"/>
    <x:tableColumn id="4" name="K máximo"/>
    <x:tableColumn id="5" name="Vizinhos efetivos mínimos"/>
    <x:tableColumn id="6" name="Peso físico"/>
    <x:tableColumn id="7" name="Peso geográfico"/>
    <x:tableColumn id="8" name="Peso máximo individual"/>
    <x:tableColumn id="9" name="Potência da distância"/>
    <x:tableColumn id="10" name="Limiar robusto"/>
    <x:tableColumn id="11" name="Critério"/>
  </x:tableColumns>
  <x:tableStyleInfo name="TableStyleMedium2" showRowStripes="1"/>
</x:table>
</file>

<file path=xl/tables/table3.xml><?xml version="1.0" encoding="utf-8"?>
<x:table xmlns:x="http://schemas.openxmlformats.org/spreadsheetml/2006/main" id="3" name="ResultadosFinalidades" displayName="ResultadosFinalidades" ref="A1:E10" headerRowCount="1">
  <x:tableColumns count="5">
    <x:tableColumn id="1" name="Finalidade"/>
    <x:tableColumn id="2" name="MdAPE 1.12"/>
    <x:tableColumn id="3" name="MdAPE 1.13"/>
    <x:tableColumn id="4" name="Redução relativa"/>
    <x:tableColumn id="5" name="Perfil aplicado"/>
  </x:tableColumns>
  <x:tableStyleInfo name="TableStyleMedium2" showRowStripes="1"/>
</x:table>
</file>

<file path=xl/tables/table4.xml><?xml version="1.0" encoding="utf-8"?>
<x:table xmlns:x="http://schemas.openxmlformats.org/spreadsheetml/2006/main" id="4" name="EtapasCalibracao" displayName="EtapasCalibracao" ref="A4:B12" headerRowCount="1">
  <x:tableColumns count="2">
    <x:tableColumn id="1" name="Etapa"/>
    <x:tableColumn id="2" name="Descrição"/>
  </x:tableColumns>
  <x:tableStyleInfo name="TableStyleMedium2" showRowStripes="1"/>
</x:table>
</file>

<file path=xl/tables/table5.xml><?xml version="1.0" encoding="utf-8"?>
<x:table xmlns:x="http://schemas.openxmlformats.org/spreadsheetml/2006/main" id="5" name="RankingBusca" displayName="RankingBusca" ref="A1:N26" headerRowCount="1">
  <x:tableColumns count="14">
    <x:tableColumn id="1" name="Rank médio"/>
    <x:tableColumn id="2" name="Score balanceado"/>
    <x:tableColumn id="3" name="Score ajuste"/>
    <x:tableColumn id="4" name="Score confirmação"/>
    <x:tableColumn id="5" name="Score recente"/>
    <x:tableColumn id="6" name="Score total"/>
    <x:tableColumn id="7" name="K inicial"/>
    <x:tableColumn id="8" name="K máximo"/>
    <x:tableColumn id="9" name="Vizinhos efetivos"/>
    <x:tableColumn id="10" name="Peso físico"/>
    <x:tableColumn id="11" name="Peso geográfico"/>
    <x:tableColumn id="12" name="Peso máximo"/>
    <x:tableColumn id="13" name="Potência"/>
    <x:tableColumn id="14" name="Limiar robust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f826b487c834c9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be207f41cda4f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2d53d918973d475a" /><Relationship Type="http://schemas.openxmlformats.org/officeDocument/2006/relationships/table" Target="/xl/tables/table3.xml" Id="R00d705ffcd5d495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1e46f1a02f24c7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71104c5fd9f4433" /></Relationships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4" hidden="0" customWidth="1"/>
    <x:col min="3" max="3" width="5.630000114440918" hidden="0" customWidth="1"/>
    <x:col min="4" max="4" width="28" hidden="0" customWidth="1"/>
    <x:col min="5" max="5" width="22.3799991607666" hidden="0" customWidth="1"/>
    <x:col min="6" max="6" width="18" hidden="0" customWidth="1"/>
    <x:col min="7" max="7" width="28.3799991607666" hidden="0" customWidth="1"/>
    <x:col min="8" max="8" width="14" hidden="0" customWidth="1"/>
  </x:cols>
  <x:sheetData>
    <x:row r="1" ht="28" customHeight="1">
      <x:c r="A1" s="24" t="str">
        <x:v>Calibração do estimador_knn_siri — LITE 1.13.0</x:v>
      </x:c>
      <x:c r="B1" s="24"/>
      <x:c r="C1" s="24"/>
      <x:c r="D1" s="24"/>
      <x:c r="E1" s="24"/>
      <x:c r="F1" s="24"/>
      <x:c r="G1" s="24"/>
      <x:c r="H1" s="24"/>
    </x:row>
    <x:row r="2" ht="28" customHeight="1">
      <x:c r="A2" s="24"/>
      <x:c r="B2" s="24"/>
      <x:c r="C2" s="24"/>
      <x:c r="D2" s="24"/>
      <x:c r="E2" s="24"/>
      <x:c r="F2" s="24"/>
      <x:c r="G2" s="24"/>
      <x:c r="H2" s="24"/>
    </x:row>
    <x:row r="3">
      <x:c r="A3" s="25"/>
      <x:c r="B3" s="25"/>
      <x:c r="C3" s="25"/>
      <x:c r="D3" s="25"/>
      <x:c r="E3" s="25"/>
      <x:c r="F3" s="25"/>
      <x:c r="G3" s="25"/>
      <x:c r="H3" s="25"/>
    </x:row>
    <x:row r="4">
      <x:c r="A4" s="26" t="str">
        <x:v>Base de calibração</x:v>
      </x:c>
      <x:c r="B4" s="26" t="str">
        <x:v>Valor</x:v>
      </x:c>
      <x:c r="C4" s="25"/>
      <x:c r="D4" s="26" t="str">
        <x:v>Indicador principal</x:v>
      </x:c>
      <x:c r="E4" s="26" t="str">
        <x:v>Resultado</x:v>
      </x:c>
      <x:c r="F4" s="25"/>
      <x:c r="G4" s="25"/>
      <x:c r="H4" s="25"/>
    </x:row>
    <x:row r="5">
      <x:c r="A5" s="25" t="str">
        <x:v>Arquivo</x:v>
      </x:c>
      <x:c r="B5" s="25" t="str">
        <x:v>SIRI_pesquisa_aluguel-30.07.2026 13.43.03.xlsx</x:v>
      </x:c>
      <x:c r="C5" s="25"/>
      <x:c r="D5" s="25" t="str">
        <x:v>MdAPE 1.12</x:v>
      </x:c>
      <x:c r="E5" s="27" t="n">
        <x:v>0.33250646086564556</x:v>
      </x:c>
      <x:c r="F5" s="25"/>
      <x:c r="G5" s="25"/>
      <x:c r="H5" s="25"/>
    </x:row>
    <x:row r="6">
      <x:c r="A6" s="25" t="str">
        <x:v>Período</x:v>
      </x:c>
      <x:c r="B6" s="25" t="str">
        <x:v>30/04/2026 a 30/07/2026</x:v>
      </x:c>
      <x:c r="C6" s="25"/>
      <x:c r="D6" s="25" t="str">
        <x:v>MdAPE 1.13 híbrida</x:v>
      </x:c>
      <x:c r="E6" s="27" t="n">
        <x:v>0.2868793753155697</x:v>
      </x:c>
      <x:c r="F6" s="25"/>
      <x:c r="G6" s="25"/>
      <x:c r="H6" s="25"/>
    </x:row>
    <x:row r="7">
      <x:c r="A7" s="25" t="str">
        <x:v>Registros originais</x:v>
      </x:c>
      <x:c r="B7" s="25" t="n">
        <x:v>14845</x:v>
      </x:c>
      <x:c r="C7" s="25"/>
      <x:c r="D7" s="25" t="str">
        <x:v>Redução relativa</x:v>
      </x:c>
      <x:c r="E7" s="27" t="n">
        <x:f>1-E6/E5</x:f>
        <x:v>0.13722165106593887</x:v>
      </x:c>
      <x:c r="F7" s="25"/>
      <x:c r="G7" s="25"/>
      <x:c r="H7" s="25"/>
    </x:row>
    <x:row r="8">
      <x:c r="A8" s="25" t="str">
        <x:v>Casos válidos de backtesting</x:v>
      </x:c>
      <x:c r="B8" s="25" t="n">
        <x:v>415</x:v>
      </x:c>
      <x:c r="C8" s="25"/>
      <x:c r="D8" s="25" t="str">
        <x:v>Score composto 1.12</x:v>
      </x:c>
      <x:c r="E8" s="28" t="n">
        <x:v>0.39800955772885116</x:v>
      </x:c>
      <x:c r="F8" s="25"/>
      <x:c r="G8" s="25"/>
      <x:c r="H8" s="25"/>
    </x:row>
    <x:row r="9">
      <x:c r="A9" s="25" t="str">
        <x:v>Casos de otimização</x:v>
      </x:c>
      <x:c r="B9" s="25" t="n">
        <x:v>288</x:v>
      </x:c>
      <x:c r="C9" s="25"/>
      <x:c r="D9" s="25" t="str">
        <x:v>Score composto 1.13</x:v>
      </x:c>
      <x:c r="E9" s="28" t="n">
        <x:v>0.3359972034644704</x:v>
      </x:c>
      <x:c r="F9" s="25"/>
      <x:c r="G9" s="25"/>
      <x:c r="H9" s="25"/>
    </x:row>
    <x:row r="10">
      <x:c r="A10" s="25" t="str">
        <x:v>Casos de confirmação</x:v>
      </x:c>
      <x:c r="B10" s="25" t="n">
        <x:v>127</x:v>
      </x:c>
      <x:c r="C10" s="25"/>
      <x:c r="D10" s="25"/>
      <x:c r="E10" s="25"/>
      <x:c r="F10" s="25"/>
      <x:c r="G10" s="25"/>
      <x:c r="H10" s="25"/>
    </x:row>
    <x:row r="11">
      <x:c r="A11" s="25" t="str">
        <x:v>Casos recentes</x:v>
      </x:c>
      <x:c r="B11" s="25" t="n">
        <x:v>112</x:v>
      </x:c>
      <x:c r="C11" s="25"/>
      <x:c r="D11" s="25"/>
      <x:c r="E11" s="25"/>
      <x:c r="F11" s="25"/>
      <x:c r="G11" s="25"/>
      <x:c r="H11" s="25"/>
    </x:row>
    <x:row r="12">
      <x:c r="A12" s="25" t="str">
        <x:v>Configurações únicas avaliadas</x:v>
      </x:c>
      <x:c r="B12" s="25" t="n">
        <x:v>211</x:v>
      </x:c>
      <x:c r="C12" s="25"/>
      <x:c r="D12" s="25"/>
      <x:c r="E12" s="25"/>
      <x:c r="F12" s="25"/>
      <x:c r="G12" s="25"/>
      <x:c r="H12" s="25"/>
    </x:row>
    <x:row r="13">
      <x:c r="A13" s="25"/>
      <x:c r="B13" s="25"/>
      <x:c r="C13" s="25"/>
      <x:c r="D13" s="25"/>
      <x:c r="E13" s="25"/>
      <x:c r="F13" s="25"/>
      <x:c r="G13" s="25"/>
      <x:c r="H13" s="25"/>
    </x:row>
    <x:row r="14">
      <x:c r="A14" s="25"/>
      <x:c r="B14" s="25"/>
      <x:c r="C14" s="25"/>
      <x:c r="D14" s="25"/>
      <x:c r="E14" s="25"/>
      <x:c r="F14" s="25"/>
      <x:c r="G14" s="25"/>
      <x:c r="H14" s="25"/>
    </x:row>
    <x:row r="15">
      <x:c r="A15" s="26" t="str">
        <x:v>Conjunto</x:v>
      </x:c>
      <x:c r="B15" s="26" t="str">
        <x:v>Configuração</x:v>
      </x:c>
      <x:c r="C15" s="26" t="str">
        <x:v>Score</x:v>
      </x:c>
      <x:c r="D15" s="26" t="str">
        <x:v>MdAPE</x:v>
      </x:c>
      <x:c r="E15" s="26" t="str">
        <x:v>MdAPE macro por finalidade</x:v>
      </x:c>
      <x:c r="F15" s="26" t="str">
        <x:v>P90 do erro percentual</x:v>
      </x:c>
      <x:c r="G15" s="26" t="str">
        <x:v>Razão mediana estimado/observado</x:v>
      </x:c>
      <x:c r="H15" s="26" t="str">
        <x:v>Observações</x:v>
      </x:c>
    </x:row>
    <x:row r="16">
      <x:c r="A16" s="25" t="str">
        <x:v>Amostra completa</x:v>
      </x:c>
      <x:c r="B16" s="25" t="str">
        <x:v>1.12</x:v>
      </x:c>
      <x:c r="C16" s="28" t="n">
        <x:v>0.39800955772885116</x:v>
      </x:c>
      <x:c r="D16" s="27" t="n">
        <x:v>0.33250646086564556</x:v>
      </x:c>
      <x:c r="E16" s="27" t="n">
        <x:v>0.35277431179918667</x:v>
      </x:c>
      <x:c r="F16" s="27" t="n">
        <x:v>1.2344279284093518</x:v>
      </x:c>
      <x:c r="G16" s="29" t="n">
        <x:v>1.03218048269233</x:v>
      </x:c>
      <x:c r="H16" s="25" t="n">
        <x:v>415</x:v>
      </x:c>
    </x:row>
    <x:row r="17">
      <x:c r="A17" s="25" t="str">
        <x:v>Amostra completa</x:v>
      </x:c>
      <x:c r="B17" s="25" t="str">
        <x:v>global calibrada</x:v>
      </x:c>
      <x:c r="C17" s="28" t="n">
        <x:v>0.34094000943769887</x:v>
      </x:c>
      <x:c r="D17" s="27" t="n">
        <x:v>0.2968387422053438</x:v>
      </x:c>
      <x:c r="E17" s="27" t="n">
        <x:v>0.303296086976878</x:v>
      </x:c>
      <x:c r="F17" s="27" t="n">
        <x:v>0.9836076184269031</x:v>
      </x:c>
      <x:c r="G17" s="29" t="n">
        <x:v>1.017934706331326</x:v>
      </x:c>
      <x:c r="H17" s="25" t="n">
        <x:v>415</x:v>
      </x:c>
    </x:row>
    <x:row r="18">
      <x:c r="A18" s="25" t="str">
        <x:v>Amostra completa</x:v>
      </x:c>
      <x:c r="B18" s="25" t="str">
        <x:v>híbrida 1.13</x:v>
      </x:c>
      <x:c r="C18" s="28" t="n">
        <x:v>0.3359972034644704</x:v>
      </x:c>
      <x:c r="D18" s="27" t="n">
        <x:v>0.2868793753155697</x:v>
      </x:c>
      <x:c r="E18" s="27" t="n">
        <x:v>0.2861026995617953</x:v>
      </x:c>
      <x:c r="F18" s="27" t="n">
        <x:v>1.0552957829713359</x:v>
      </x:c>
      <x:c r="G18" s="29" t="n">
        <x:v>1.0186655645767435</x:v>
      </x:c>
      <x:c r="H18" s="25" t="n">
        <x:v>415</x:v>
      </x:c>
    </x:row>
    <x:row r="19">
      <x:c r="A19" s="25" t="str">
        <x:v>Otimização</x:v>
      </x:c>
      <x:c r="B19" s="25" t="str">
        <x:v>1.12</x:v>
      </x:c>
      <x:c r="C19" s="28" t="n">
        <x:v>0.4051602367747599</x:v>
      </x:c>
      <x:c r="D19" s="27" t="n">
        <x:v>0.3312479903312502</x:v>
      </x:c>
      <x:c r="E19" s="27" t="n">
        <x:v>0.3810384464695272</x:v>
      </x:c>
      <x:c r="F19" s="27" t="n">
        <x:v>1.1585198385275979</x:v>
      </x:c>
      <x:c r="G19" s="29" t="n">
        <x:v>1.0408990580882933</x:v>
      </x:c>
      <x:c r="H19" s="25" t="n">
        <x:v>288</x:v>
      </x:c>
    </x:row>
    <x:row r="20">
      <x:c r="A20" s="25" t="str">
        <x:v>Otimização</x:v>
      </x:c>
      <x:c r="B20" s="25" t="str">
        <x:v>global calibrada</x:v>
      </x:c>
      <x:c r="C20" s="28" t="n">
        <x:v>0.34756401669554465</x:v>
      </x:c>
      <x:c r="D20" s="27" t="n">
        <x:v>0.29494316284710753</x:v>
      </x:c>
      <x:c r="E20" s="27" t="n">
        <x:v>0.31829188251152174</x:v>
      </x:c>
      <x:c r="F20" s="27" t="n">
        <x:v>0.9833488100321642</x:v>
      </x:c>
      <x:c r="G20" s="29" t="n">
        <x:v>1.0184214014339932</x:v>
      </x:c>
      <x:c r="H20" s="25" t="n">
        <x:v>288</x:v>
      </x:c>
    </x:row>
    <x:row r="21">
      <x:c r="A21" s="25" t="str">
        <x:v>Otimização</x:v>
      </x:c>
      <x:c r="B21" s="25" t="str">
        <x:v>híbrida 1.13</x:v>
      </x:c>
      <x:c r="C21" s="28" t="n">
        <x:v>0.34807815309540263</x:v>
      </x:c>
      <x:c r="D21" s="27" t="n">
        <x:v>0.28711286356616017</x:v>
      </x:c>
      <x:c r="E21" s="27" t="n">
        <x:v>0.30645281915237504</x:v>
      </x:c>
      <x:c r="F21" s="27" t="n">
        <x:v>1.0836625261763884</x:v>
      </x:c>
      <x:c r="G21" s="29" t="n">
        <x:v>1.0184214014339932</x:v>
      </x:c>
      <x:c r="H21" s="25" t="n">
        <x:v>288</x:v>
      </x:c>
    </x:row>
    <x:row r="22">
      <x:c r="A22" s="25" t="str">
        <x:v>Confirmação</x:v>
      </x:c>
      <x:c r="B22" s="25" t="str">
        <x:v>1.12</x:v>
      </x:c>
      <x:c r="C22" s="28" t="n">
        <x:v>0.37301911281707645</x:v>
      </x:c>
      <x:c r="D22" s="27" t="n">
        <x:v>0.33659527194449795</x:v>
      </x:c>
      <x:c r="E22" s="27" t="n">
        <x:v>0.30144220197018323</x:v>
      </x:c>
      <x:c r="F22" s="27" t="n">
        <x:v>1.2844697808148422</x:v>
      </x:c>
      <x:c r="G22" s="29" t="n">
        <x:v>1.0186028087362302</x:v>
      </x:c>
      <x:c r="H22" s="25" t="n">
        <x:v>127</x:v>
      </x:c>
    </x:row>
    <x:row r="23">
      <x:c r="A23" s="25" t="str">
        <x:v>Confirmação</x:v>
      </x:c>
      <x:c r="B23" s="25" t="str">
        <x:v>global calibrada</x:v>
      </x:c>
      <x:c r="C23" s="28" t="n">
        <x:v>0.35291275114813264</x:v>
      </x:c>
      <x:c r="D23" s="27" t="n">
        <x:v>0.30786689808437945</x:v>
      </x:c>
      <x:c r="E23" s="27" t="n">
        <x:v>0.3164740569814646</x:v>
      </x:c>
      <x:c r="F23" s="27" t="n">
        <x:v>1.0209781447648143</x:v>
      </x:c>
      <x:c r="G23" s="29" t="n">
        <x:v>1.0007278185428752</x:v>
      </x:c>
      <x:c r="H23" s="25" t="n">
        <x:v>127</x:v>
      </x:c>
    </x:row>
    <x:row r="24">
      <x:c r="A24" s="25" t="str">
        <x:v>Confirmação</x:v>
      </x:c>
      <x:c r="B24" s="25" t="str">
        <x:v>híbrida 1.13</x:v>
      </x:c>
      <x:c r="C24" s="28" t="n">
        <x:v>0.3275646619532084</x:v>
      </x:c>
      <x:c r="D24" s="27" t="n">
        <x:v>0.28236435897904755</x:v>
      </x:c>
      <x:c r="E24" s="27" t="n">
        <x:v>0.28408870860482016</x:v>
      </x:c>
      <x:c r="F24" s="27" t="n">
        <x:v>1.00261925227321</x:v>
      </x:c>
      <x:c r="G24" s="29" t="n">
        <x:v>1.0222505908693285</x:v>
      </x:c>
      <x:c r="H24" s="25" t="n">
        <x:v>127</x:v>
      </x:c>
    </x:row>
    <x:row r="25">
      <x:c r="A25" s="25" t="str">
        <x:v>Registros recentes</x:v>
      </x:c>
      <x:c r="B25" s="25" t="str">
        <x:v>1.12</x:v>
      </x:c>
      <x:c r="C25" s="28" t="n">
        <x:v>0.4384375598079839</x:v>
      </x:c>
      <x:c r="D25" s="27" t="n">
        <x:v>0.37019416018326246</x:v>
      </x:c>
      <x:c r="E25" s="27" t="n">
        <x:v>0.3957118009528639</x:v>
      </x:c>
      <x:c r="F25" s="27" t="n">
        <x:v>1.272723684368183</x:v>
      </x:c>
      <x:c r="G25" s="29" t="n">
        <x:v>1.0617958525802853</x:v>
      </x:c>
      <x:c r="H25" s="25" t="n">
        <x:v>112</x:v>
      </x:c>
    </x:row>
    <x:row r="26">
      <x:c r="A26" s="25" t="str">
        <x:v>Registros recentes</x:v>
      </x:c>
      <x:c r="B26" s="25" t="str">
        <x:v>global calibrada</x:v>
      </x:c>
      <x:c r="C26" s="28" t="n">
        <x:v>0.38960062336972257</x:v>
      </x:c>
      <x:c r="D26" s="27" t="n">
        <x:v>0.3375835613449987</x:v>
      </x:c>
      <x:c r="E26" s="27" t="n">
        <x:v>0.3691873506070105</x:v>
      </x:c>
      <x:c r="F26" s="27" t="n">
        <x:v>1.079201231527938</x:v>
      </x:c>
      <x:c r="G26" s="29" t="n">
        <x:v>1.018938874699649</x:v>
      </x:c>
      <x:c r="H26" s="25" t="n">
        <x:v>112</x:v>
      </x:c>
    </x:row>
    <x:row r="27">
      <x:c r="A27" s="25" t="str">
        <x:v>Registros recentes</x:v>
      </x:c>
      <x:c r="B27" s="25" t="str">
        <x:v>híbrida 1.13</x:v>
      </x:c>
      <x:c r="C27" s="28" t="n">
        <x:v>0.388326585312202</x:v>
      </x:c>
      <x:c r="D27" s="27" t="n">
        <x:v>0.3032195816872788</x:v>
      </x:c>
      <x:c r="E27" s="27" t="n">
        <x:v>0.3525757872469074</x:v>
      </x:c>
      <x:c r="F27" s="27" t="n">
        <x:v>1.2423011143925329</x:v>
      </x:c>
      <x:c r="G27" s="29" t="n">
        <x:v>1.0203687733883848</x:v>
      </x:c>
      <x:c r="H27" s="25" t="n">
        <x:v>112</x:v>
      </x:c>
    </x:row>
    <x:row r="28">
      <x:c r="A28" s="25"/>
      <x:c r="B28" s="25"/>
      <x:c r="C28" s="25"/>
      <x:c r="D28" s="25"/>
      <x:c r="E28" s="25"/>
      <x:c r="F28" s="25"/>
      <x:c r="G28" s="25"/>
      <x:c r="H28" s="25"/>
    </x:row>
    <x:row r="29">
      <x:c r="A29" s="25"/>
      <x:c r="B29" s="25"/>
      <x:c r="C29" s="25"/>
      <x:c r="D29" s="25"/>
      <x:c r="E29" s="25"/>
      <x:c r="F29" s="25"/>
      <x:c r="G29" s="25"/>
      <x:c r="H29" s="25"/>
    </x:row>
    <x:row r="30">
      <x:c r="A30" s="25"/>
      <x:c r="B30" s="25"/>
      <x:c r="C30" s="25"/>
      <x:c r="D30" s="25"/>
      <x:c r="E30" s="25"/>
      <x:c r="F30" s="25"/>
      <x:c r="G30" s="25"/>
      <x:c r="H30" s="25"/>
    </x:row>
    <x:row r="31">
      <x:c r="A31" s="25"/>
      <x:c r="B31" s="25"/>
      <x:c r="C31" s="25"/>
      <x:c r="D31" s="25"/>
      <x:c r="E31" s="25"/>
      <x:c r="F31" s="25"/>
      <x:c r="G31" s="25"/>
      <x:c r="H31" s="25"/>
    </x:row>
    <x:row r="32">
      <x:c r="A32" s="25"/>
      <x:c r="B32" s="25"/>
      <x:c r="C32" s="25"/>
      <x:c r="D32" s="25"/>
      <x:c r="E32" s="25"/>
      <x:c r="F32" s="25"/>
      <x:c r="G32" s="25"/>
      <x:c r="H32" s="25"/>
    </x:row>
    <x:row r="33">
      <x:c r="A33" s="25"/>
      <x:c r="B33" s="25"/>
      <x:c r="C33" s="25"/>
      <x:c r="D33" s="25"/>
      <x:c r="E33" s="25"/>
      <x:c r="F33" s="25"/>
      <x:c r="G33" s="25"/>
      <x:c r="H33" s="25"/>
    </x:row>
    <x:row r="34">
      <x:c r="A34" s="25"/>
      <x:c r="B34" s="25"/>
      <x:c r="C34" s="25"/>
      <x:c r="D34" s="25"/>
      <x:c r="E34" s="25"/>
      <x:c r="F34" s="25"/>
      <x:c r="G34" s="25"/>
      <x:c r="H34" s="25"/>
    </x:row>
    <x:row r="35">
      <x:c r="A35" s="25"/>
      <x:c r="B35" s="25"/>
      <x:c r="C35" s="25"/>
      <x:c r="D35" s="25"/>
      <x:c r="E35" s="25"/>
      <x:c r="F35" s="25"/>
      <x:c r="G35" s="25"/>
      <x:c r="H35" s="25"/>
    </x:row>
    <x:row r="36">
      <x:c r="A36" s="25"/>
      <x:c r="B36" s="25"/>
      <x:c r="C36" s="25"/>
      <x:c r="D36" s="25"/>
      <x:c r="E36" s="25"/>
      <x:c r="F36" s="25"/>
      <x:c r="G36" s="25"/>
      <x:c r="H36" s="25"/>
    </x:row>
    <x:row r="37">
      <x:c r="A37" s="25"/>
      <x:c r="B37" s="25"/>
      <x:c r="C37" s="25"/>
      <x:c r="D37" s="25"/>
      <x:c r="E37" s="25"/>
      <x:c r="F37" s="25"/>
      <x:c r="G37" s="25"/>
      <x:c r="H37" s="25"/>
    </x:row>
    <x:row r="38">
      <x:c r="A38" s="25"/>
      <x:c r="B38" s="25"/>
      <x:c r="C38" s="25"/>
      <x:c r="D38" s="25"/>
      <x:c r="E38" s="25"/>
      <x:c r="F38" s="25"/>
      <x:c r="G38" s="25"/>
      <x:c r="H38" s="25"/>
    </x:row>
    <x:row r="39">
      <x:c r="A39" s="25"/>
      <x:c r="B39" s="25"/>
      <x:c r="C39" s="25"/>
      <x:c r="D39" s="25"/>
      <x:c r="E39" s="25"/>
      <x:c r="F39" s="25"/>
      <x:c r="G39" s="25"/>
      <x:c r="H39" s="25"/>
    </x:row>
    <x:row r="40">
      <x:c r="A40" s="25"/>
      <x:c r="B40" s="25"/>
      <x:c r="C40" s="25"/>
      <x:c r="D40" s="25"/>
      <x:c r="E40" s="25"/>
      <x:c r="F40" s="25"/>
      <x:c r="G40" s="25"/>
      <x:c r="H40" s="25"/>
    </x:row>
  </x:sheetData>
  <x:mergeCells>
    <x:mergeCell ref="A1:H2"/>
  </x:mergeCells>
  <x:pageMargins left="0.7" right="0.7" top="0.75" bottom="0.75" header="0.3" footer="0.3"/>
  <x:tableParts count="1">
    <x:tablePart xmlns:r="http://schemas.openxmlformats.org/officeDocument/2006/relationships" r:id="Ref826b487c834c9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6.380000114440918" hidden="0" customWidth="1"/>
    <x:col min="4" max="4" width="8.130000114440918" hidden="0" customWidth="1"/>
    <x:col min="5" max="5" width="20.3799991607666" hidden="0" customWidth="1"/>
    <x:col min="6" max="6" width="8.5" hidden="0" customWidth="1"/>
    <x:col min="7" max="7" width="12.5" hidden="0" customWidth="1"/>
    <x:col min="8" max="8" width="18.6299991607666" hidden="0" customWidth="1"/>
    <x:col min="9" max="9" width="16.6299991607666" hidden="0" customWidth="1"/>
    <x:col min="10" max="10" width="11.630000114440918" hidden="0" customWidth="1"/>
    <x:col min="11" max="11" width="42" hidden="0" customWidth="1"/>
  </x:cols>
  <x:sheetData>
    <x:row r="1">
      <x:c r="A1" s="26" t="str">
        <x:v>Finalidade</x:v>
      </x:c>
      <x:c r="B1" s="26" t="str">
        <x:v>Perfil</x:v>
      </x:c>
      <x:c r="C1" s="26" t="str">
        <x:v>K inicial</x:v>
      </x:c>
      <x:c r="D1" s="26" t="str">
        <x:v>K máximo</x:v>
      </x:c>
      <x:c r="E1" s="26" t="str">
        <x:v>Vizinhos efetivos mínimos</x:v>
      </x:c>
      <x:c r="F1" s="26" t="str">
        <x:v>Peso físico</x:v>
      </x:c>
      <x:c r="G1" s="26" t="str">
        <x:v>Peso geográfico</x:v>
      </x:c>
      <x:c r="H1" s="26" t="str">
        <x:v>Peso máximo individual</x:v>
      </x:c>
      <x:c r="I1" s="26" t="str">
        <x:v>Potência da distância</x:v>
      </x:c>
      <x:c r="J1" s="26" t="str">
        <x:v>Limiar robusto</x:v>
      </x:c>
      <x:c r="K1" s="26" t="str">
        <x:v>Critério</x:v>
      </x:c>
    </x:row>
    <x:row r="2">
      <x:c r="A2" s="25" t="str">
        <x:v>PADRÃO GLOBAL</x:v>
      </x:c>
      <x:c r="B2" s="25" t="str">
        <x:v>global_calibrado_3_meses</x:v>
      </x:c>
      <x:c r="C2" s="25" t="n">
        <x:v>12</x:v>
      </x:c>
      <x:c r="D2" s="25" t="n">
        <x:v>25</x:v>
      </x:c>
      <x:c r="E2" s="40" t="n">
        <x:v>11</x:v>
      </x:c>
      <x:c r="F2" s="27" t="n">
        <x:v>0.45</x:v>
      </x:c>
      <x:c r="G2" s="27" t="n">
        <x:v>0.55</x:v>
      </x:c>
      <x:c r="H2" s="27" t="n">
        <x:v>0.25</x:v>
      </x:c>
      <x:c r="I2" s="41" t="n">
        <x:v>0.35</x:v>
      </x:c>
      <x:c r="J2" s="41" t="n">
        <x:v>1.25</x:v>
      </x:c>
      <x:c r="K2" s="25" t="str">
        <x:v>Melhor equilíbrio entre otimização, confirmação aleatória, validação temporal e amostra completa</x:v>
      </x:c>
    </x:row>
    <x:row r="3">
      <x:c r="A3" s="25" t="str">
        <x:v>CASA / RESIDÊNCIA</x:v>
      </x:c>
      <x:c r="B3" s="25" t="str">
        <x:v>especifico_casa_residencia</x:v>
      </x:c>
      <x:c r="C3" s="25" t="n">
        <x:v>5</x:v>
      </x:c>
      <x:c r="D3" s="25" t="n">
        <x:v>40</x:v>
      </x:c>
      <x:c r="E3" s="40" t="n">
        <x:v>5</x:v>
      </x:c>
      <x:c r="F3" s="27" t="n">
        <x:v>0.85</x:v>
      </x:c>
      <x:c r="G3" s="27" t="n">
        <x:v>0.15000000000000002</x:v>
      </x:c>
      <x:c r="H3" s="27" t="n">
        <x:v>0.2</x:v>
      </x:c>
      <x:c r="I3" s="41" t="n">
        <x:v>0.5</x:v>
      </x:c>
      <x:c r="J3" s="41" t="n">
        <x:v>2</x:v>
      </x:c>
      <x:c r="K3" s="25" t="str">
        <x:v>Override aceito por melhora consistente fora da amostra</x:v>
      </x:c>
    </x:row>
    <x:row r="4">
      <x:c r="A4" s="25" t="str">
        <x:v>SALA COMERCIAL</x:v>
      </x:c>
      <x:c r="B4" s="25" t="str">
        <x:v>especifico_sala_comercial</x:v>
      </x:c>
      <x:c r="C4" s="25" t="n">
        <x:v>9</x:v>
      </x:c>
      <x:c r="D4" s="25" t="n">
        <x:v>20</x:v>
      </x:c>
      <x:c r="E4" s="40" t="n">
        <x:v>15</x:v>
      </x:c>
      <x:c r="F4" s="27" t="n">
        <x:v>0.6</x:v>
      </x:c>
      <x:c r="G4" s="27" t="n">
        <x:v>0.4</x:v>
      </x:c>
      <x:c r="H4" s="27" t="n">
        <x:v>0.25</x:v>
      </x:c>
      <x:c r="I4" s="41" t="n">
        <x:v>0.65</x:v>
      </x:c>
      <x:c r="J4" s="41" t="n">
        <x:v>2.5</x:v>
      </x:c>
      <x:c r="K4" s="25" t="str">
        <x:v>Override aceito por melhora consistente fora da amostra</x:v>
      </x:c>
    </x:row>
    <x:row r="5">
      <x:c r="A5" s="25" t="str">
        <x:v>GARAGEM / VAGA</x:v>
      </x:c>
      <x:c r="B5" s="25" t="str">
        <x:v>conservador_garagem_vaga_v1_12</x:v>
      </x:c>
      <x:c r="C5" s="25" t="n">
        <x:v>7</x:v>
      </x:c>
      <x:c r="D5" s="25" t="n">
        <x:v>30</x:v>
      </x:c>
      <x:c r="E5" s="40" t="n">
        <x:v>5</x:v>
      </x:c>
      <x:c r="F5" s="27" t="n">
        <x:v>0.6666666666666666</x:v>
      </x:c>
      <x:c r="G5" s="27" t="n">
        <x:v>0.3333333333333333</x:v>
      </x:c>
      <x:c r="H5" s="27" t="n">
        <x:v>0.3</x:v>
      </x:c>
      <x:c r="I5" s="41" t="n">
        <x:v>1</x:v>
      </x:c>
      <x:c r="J5" s="41" t="n">
        <x:v>2.5</x:v>
      </x:c>
      <x:c r="K5" s="25" t="str">
        <x:v>Configuração 1.12 preservada para evitar piora do segmento</x:v>
      </x:c>
    </x:row>
    <x:row r="6">
      <x:c r="A6" s="25"/>
      <x:c r="B6" s="25"/>
      <x:c r="C6" s="25"/>
      <x:c r="D6" s="25"/>
      <x:c r="E6" s="25"/>
      <x:c r="F6" s="25"/>
      <x:c r="G6" s="25"/>
      <x:c r="H6" s="25"/>
      <x:c r="I6" s="25"/>
      <x:c r="J6" s="25"/>
      <x:c r="K6" s="25"/>
    </x:row>
    <x:row r="7">
      <x:c r="A7" s="25"/>
      <x:c r="B7" s="25"/>
      <x:c r="C7" s="25"/>
      <x:c r="D7" s="25"/>
      <x:c r="E7" s="25"/>
      <x:c r="F7" s="25"/>
      <x:c r="G7" s="25"/>
      <x:c r="H7" s="25"/>
      <x:c r="I7" s="25"/>
      <x:c r="J7" s="25"/>
      <x:c r="K7" s="25"/>
    </x:row>
    <x:row r="8">
      <x:c r="A8" s="25"/>
      <x:c r="B8" s="25"/>
      <x:c r="C8" s="25"/>
      <x:c r="D8" s="25"/>
      <x:c r="E8" s="25"/>
      <x:c r="F8" s="25"/>
      <x:c r="G8" s="25"/>
      <x:c r="H8" s="25"/>
      <x:c r="I8" s="25"/>
      <x:c r="J8" s="25"/>
      <x:c r="K8" s="25"/>
    </x:row>
    <x:row r="9">
      <x:c r="A9" s="25"/>
      <x:c r="B9" s="25"/>
      <x:c r="C9" s="25"/>
      <x:c r="D9" s="25"/>
      <x:c r="E9" s="25"/>
      <x:c r="F9" s="25"/>
      <x:c r="G9" s="25"/>
      <x:c r="H9" s="25"/>
      <x:c r="I9" s="25"/>
      <x:c r="J9" s="25"/>
      <x:c r="K9" s="25"/>
    </x:row>
    <x:row r="10">
      <x:c r="A10" s="25"/>
      <x:c r="B10" s="25"/>
      <x:c r="C10" s="25"/>
      <x:c r="D10" s="25"/>
      <x:c r="E10" s="25"/>
      <x:c r="F10" s="25"/>
      <x:c r="G10" s="25"/>
      <x:c r="H10" s="25"/>
      <x:c r="I10" s="25"/>
      <x:c r="J10" s="25"/>
      <x:c r="K10" s="25"/>
    </x:row>
  </x:sheetData>
  <x:pageMargins left="0.7" right="0.7" top="0.75" bottom="0.75" header="0.3" footer="0.3"/>
  <x:tableParts count="1">
    <x:tablePart xmlns:r="http://schemas.openxmlformats.org/officeDocument/2006/relationships" r:id="R9be207f41cda4fd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.880000114440918" hidden="0" customWidth="1"/>
    <x:col min="3" max="3" width="9.880000114440918" hidden="0" customWidth="1"/>
    <x:col min="4" max="4" width="13.25" hidden="0" customWidth="1"/>
    <x:col min="5" max="5" width="32" hidden="0" customWidth="1"/>
  </x:cols>
  <x:sheetData>
    <x:row r="1">
      <x:c r="A1" s="13" t="str">
        <x:v>Finalidade</x:v>
      </x:c>
      <x:c r="B1" s="13" t="str">
        <x:v>MdAPE 1.12</x:v>
      </x:c>
      <x:c r="C1" s="13" t="str">
        <x:v>MdAPE 1.13</x:v>
      </x:c>
      <x:c r="D1" s="13" t="str">
        <x:v>Redução relativa</x:v>
      </x:c>
      <x:c r="E1" s="13" t="str">
        <x:v>Perfil aplicado</x:v>
      </x:c>
    </x:row>
    <x:row r="2">
      <x:c r="A2" t="str">
        <x:v>APARTAMENTO</x:v>
      </x:c>
      <x:c r="B2" s="18" t="n">
        <x:v>0.2767068351368472</x:v>
      </x:c>
      <x:c r="C2" s="18" t="n">
        <x:v>0.24545477070632293</x:v>
      </x:c>
      <x:c r="D2" s="18" t="n">
        <x:f>1-C2/B2</x:f>
        <x:v>0.11294287116206703</x:v>
      </x:c>
      <x:c r="E2" t="str">
        <x:v>global_calibrado_3_meses</x:v>
      </x:c>
    </x:row>
    <x:row r="3">
      <x:c r="A3" t="str">
        <x:v>CASA / RESIDÊNCIA</x:v>
      </x:c>
      <x:c r="B3" s="18" t="n">
        <x:v>0.34892148849480065</x:v>
      </x:c>
      <x:c r="C3" s="18" t="n">
        <x:v>0.3245114480457059</x:v>
      </x:c>
      <x:c r="D3" s="18" t="n">
        <x:f>1-C3/B3</x:f>
        <x:v>0.06995854727777384</x:v>
      </x:c>
      <x:c r="E3" t="str">
        <x:v>especifico_casa_residencia</x:v>
      </x:c>
    </x:row>
    <x:row r="4">
      <x:c r="A4" t="str">
        <x:v>COBERTURA</x:v>
      </x:c>
      <x:c r="B4" s="18" t="n">
        <x:v>0.34915979812097375</x:v>
      </x:c>
      <x:c r="C4" s="18" t="n">
        <x:v>0.28236435897904755</x:v>
      </x:c>
      <x:c r="D4" s="18" t="n">
        <x:f>1-C4/B4</x:f>
        <x:v>0.19130335021783784</x:v>
      </x:c>
      <x:c r="E4" t="str">
        <x:v>global_calibrado_3_meses</x:v>
      </x:c>
    </x:row>
    <x:row r="5">
      <x:c r="A5" t="str">
        <x:v>GALPÃO / DEPÓSITO</x:v>
      </x:c>
      <x:c r="B5" s="18" t="n">
        <x:v>0.4090654860092891</x:v>
      </x:c>
      <x:c r="C5" s="18" t="n">
        <x:v>0.28923793037367207</x:v>
      </x:c>
      <x:c r="D5" s="18" t="n">
        <x:f>1-C5/B5</x:f>
        <x:v>0.2929300068911117</x:v>
      </x:c>
      <x:c r="E5" t="str">
        <x:v>global_calibrado_3_meses</x:v>
      </x:c>
    </x:row>
    <x:row r="6">
      <x:c r="A6" t="str">
        <x:v>GARAGEM / VAGA</x:v>
      </x:c>
      <x:c r="B6" s="18" t="n">
        <x:v>0.27448318297972896</x:v>
      </x:c>
      <x:c r="C6" s="18" t="n">
        <x:v>0.27448318297972896</x:v>
      </x:c>
      <x:c r="D6" s="18" t="n">
        <x:f>1-C6/B6</x:f>
        <x:v>0</x:v>
      </x:c>
      <x:c r="E6" t="str">
        <x:v>conservador_garagem_vaga_v1_12</x:v>
      </x:c>
    </x:row>
    <x:row r="7">
      <x:c r="A7" t="str">
        <x:v>IMÓVEL COMERCIAL</x:v>
      </x:c>
      <x:c r="B7" s="18" t="n">
        <x:v>0.532693393248885</x:v>
      </x:c>
      <x:c r="C7" s="18" t="n">
        <x:v>0.4241989573839525</x:v>
      </x:c>
      <x:c r="D7" s="18" t="n">
        <x:f>1-C7/B7</x:f>
        <x:v>0.203671450106087</x:v>
      </x:c>
      <x:c r="E7" t="str">
        <x:v>global_calibrado_3_meses</x:v>
      </x:c>
    </x:row>
    <x:row r="8">
      <x:c r="A8" t="str">
        <x:v>LOJA</x:v>
      </x:c>
      <x:c r="B8" s="18" t="n">
        <x:v>0.25822718142198336</x:v>
      </x:c>
      <x:c r="C8" s="18" t="n">
        <x:v>0.20868701250495036</x:v>
      </x:c>
      <x:c r="D8" s="18" t="n">
        <x:f>1-C8/B8</x:f>
        <x:v>0.19184722787209862</x:v>
      </x:c>
      <x:c r="E8" t="str">
        <x:v>global_calibrado_3_meses</x:v>
      </x:c>
    </x:row>
    <x:row r="9">
      <x:c r="A9" t="str">
        <x:v>SALA COMERCIAL</x:v>
      </x:c>
      <x:c r="B9" s="18" t="n">
        <x:v>0.36852684355122367</x:v>
      </x:c>
      <x:c r="C9" s="18" t="n">
        <x:v>0.24685685662667073</x:v>
      </x:c>
      <x:c r="D9" s="18" t="n">
        <x:f>1-C9/B9</x:f>
        <x:v>0.33015230519467254</x:v>
      </x:c>
      <x:c r="E9" t="str">
        <x:v>especifico_sala_comercial</x:v>
      </x:c>
    </x:row>
    <x:row r="10">
      <x:c r="A10" t="str">
        <x:v>TERRENO</x:v>
      </x:c>
      <x:c r="B10" s="18" t="n">
        <x:v>0.35718459722894874</x:v>
      </x:c>
      <x:c r="C10" s="18" t="n">
        <x:v>0.27912977845610704</x:v>
      </x:c>
      <x:c r="D10" s="18" t="n">
        <x:f>1-C10/B10</x:f>
        <x:v>0.21852795271238978</x:v>
      </x:c>
      <x:c r="E10" t="str">
        <x:v>global_calibrado_3_meses</x:v>
      </x:c>
    </x:row>
  </x:sheetData>
  <x:conditionalFormatting sqref="D2:D10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pageMargins left="0.7" right="0.7" top="0.75" bottom="0.75" header="0.3" footer="0.3"/>
  <x:drawing xmlns:r="http://schemas.openxmlformats.org/officeDocument/2006/relationships" r:id="R2d53d918973d475a"/>
  <x:tableParts count="1">
    <x:tablePart xmlns:r="http://schemas.openxmlformats.org/officeDocument/2006/relationships" r:id="R00d705ffcd5d495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90" hidden="0" customWidth="1"/>
  </x:cols>
  <x:sheetData>
    <x:row r="1">
      <x:c r="A1" s="24" t="str">
        <x:v>Metodologia de calibração e critérios de aceitação</x:v>
      </x:c>
      <x:c r="B1" s="24"/>
      <x:c r="C1" s="24"/>
      <x:c r="D1" s="24"/>
      <x:c r="E1" s="24"/>
      <x:c r="F1" s="24"/>
    </x:row>
    <x:row r="2">
      <x:c r="A2" s="24"/>
      <x:c r="B2" s="24"/>
      <x:c r="C2" s="24"/>
      <x:c r="D2" s="24"/>
      <x:c r="E2" s="24"/>
      <x:c r="F2" s="24"/>
    </x:row>
    <x:row r="3">
      <x:c r="A3" s="25"/>
      <x:c r="B3" s="25"/>
      <x:c r="C3" s="25"/>
      <x:c r="D3" s="25"/>
      <x:c r="E3" s="25"/>
      <x:c r="F3" s="25"/>
    </x:row>
    <x:row r="4">
      <x:c r="A4" s="26" t="str">
        <x:v>Etapa</x:v>
      </x:c>
      <x:c r="B4" s="26" t="str">
        <x:v>Descrição</x:v>
      </x:c>
      <x:c r="C4" s="25"/>
      <x:c r="D4" s="25"/>
      <x:c r="E4" s="25"/>
      <x:c r="F4" s="25"/>
    </x:row>
    <x:row r="5">
      <x:c r="A5" s="25" t="n">
        <x:v>1</x:v>
      </x:c>
      <x:c r="B5" s="25" t="str">
        <x:v>Normalização de todas as observações para a taxonomia finalidade_crawler_normalizada.</x:v>
      </x:c>
      <x:c r="C5" s="25"/>
      <x:c r="D5" s="25"/>
      <x:c r="E5" s="25"/>
      <x:c r="F5" s="25"/>
    </x:row>
    <x:row r="6">
      <x:c r="A6" s="25" t="n">
        <x:v>2</x:v>
      </x:c>
      <x:c r="B6" s="25" t="str">
        <x:v>Exclusão de aluguéis, duplicidades e dados atípicos conforme as regras seguras do aplicativo.</x:v>
      </x:c>
      <x:c r="C6" s="25"/>
      <x:c r="D6" s="25"/>
      <x:c r="E6" s="25"/>
      <x:c r="F6" s="25"/>
    </x:row>
    <x:row r="7">
      <x:c r="A7" s="25" t="n">
        <x:v>3</x:v>
      </x:c>
      <x:c r="B7" s="25" t="str">
        <x:v>Agrupamento por inscrição, área e coordenadas, impedindo que o mesmo imóvel apareça simultaneamente no treino e no teste.</x:v>
      </x:c>
      <x:c r="C7" s="25"/>
      <x:c r="D7" s="25"/>
      <x:c r="E7" s="25"/>
      <x:c r="F7" s="25"/>
    </x:row>
    <x:row r="8">
      <x:c r="A8" s="25" t="n">
        <x:v>4</x:v>
      </x:c>
      <x:c r="B8" s="25" t="str">
        <x:v>Recalculo do fator de oferta em cada rodada usando somente os dados remanescentes de treinamento.</x:v>
      </x:c>
      <x:c r="C8" s="25"/>
      <x:c r="D8" s="25"/>
      <x:c r="E8" s="25"/>
      <x:c r="F8" s="25"/>
    </x:row>
    <x:row r="9">
      <x:c r="A9" s="25" t="n">
        <x:v>5</x:v>
      </x:c>
      <x:c r="B9" s="25" t="str">
        <x:v>Busca ampla de parâmetros e refinamento na região de melhor desempenho.</x:v>
      </x:c>
      <x:c r="C9" s="25"/>
      <x:c r="D9" s="25"/>
      <x:c r="E9" s="25"/>
      <x:c r="F9" s="25"/>
    </x:row>
    <x:row r="10">
      <x:c r="A10" s="25" t="n">
        <x:v>6</x:v>
      </x:c>
      <x:c r="B10" s="25" t="str">
        <x:v>Confirmação em conjunto independente e validação temporal nos registros mais recentes.</x:v>
      </x:c>
      <x:c r="C10" s="25"/>
      <x:c r="D10" s="25"/>
      <x:c r="E10" s="25"/>
      <x:c r="F10" s="25"/>
    </x:row>
    <x:row r="11">
      <x:c r="A11" s="25" t="n">
        <x:v>7</x:v>
      </x:c>
      <x:c r="B11" s="25" t="str">
        <x:v>Escolha pelo equilíbrio entre MdAPE, macro por finalidade, P90, viés e estabilidade.</x:v>
      </x:c>
      <x:c r="C11" s="25"/>
      <x:c r="D11" s="25"/>
      <x:c r="E11" s="25"/>
      <x:c r="F11" s="25"/>
    </x:row>
    <x:row r="12">
      <x:c r="A12" s="25" t="n">
        <x:v>8</x:v>
      </x:c>
      <x:c r="B12" s="25" t="str">
        <x:v>Overrides aceitos somente com melhora fora da amostra; garagens mantiveram a configuração 1.12.</x:v>
      </x:c>
      <x:c r="C12" s="25"/>
      <x:c r="D12" s="25"/>
      <x:c r="E12" s="25"/>
      <x:c r="F12" s="25"/>
    </x:row>
    <x:row r="13">
      <x:c r="A13" s="25"/>
      <x:c r="B13" s="25"/>
      <x:c r="C13" s="25"/>
      <x:c r="D13" s="25"/>
      <x:c r="E13" s="25"/>
      <x:c r="F13" s="25"/>
    </x:row>
    <x:row r="14">
      <x:c r="A14" s="25"/>
      <x:c r="B14" s="25"/>
      <x:c r="C14" s="25"/>
      <x:c r="D14" s="25"/>
      <x:c r="E14" s="25"/>
      <x:c r="F14" s="25"/>
    </x:row>
    <x:row r="15">
      <x:c r="A15" s="25"/>
      <x:c r="B15" s="25"/>
      <x:c r="C15" s="25"/>
      <x:c r="D15" s="25"/>
      <x:c r="E15" s="25"/>
      <x:c r="F15" s="25"/>
    </x:row>
    <x:row r="16">
      <x:c r="A16" s="25"/>
      <x:c r="B16" s="25"/>
      <x:c r="C16" s="25"/>
      <x:c r="D16" s="25"/>
      <x:c r="E16" s="25"/>
      <x:c r="F16" s="25"/>
    </x:row>
    <x:row r="17">
      <x:c r="A17" s="25"/>
      <x:c r="B17" s="25"/>
      <x:c r="C17" s="25"/>
      <x:c r="D17" s="25"/>
      <x:c r="E17" s="25"/>
      <x:c r="F17" s="25"/>
    </x:row>
    <x:row r="18">
      <x:c r="A18" s="25"/>
      <x:c r="B18" s="25"/>
      <x:c r="C18" s="25"/>
      <x:c r="D18" s="25"/>
      <x:c r="E18" s="25"/>
      <x:c r="F18" s="25"/>
    </x:row>
    <x:row r="19">
      <x:c r="A19" s="25"/>
      <x:c r="B19" s="25"/>
      <x:c r="C19" s="25"/>
      <x:c r="D19" s="25"/>
      <x:c r="E19" s="25"/>
      <x:c r="F19" s="25"/>
    </x:row>
    <x:row r="20">
      <x:c r="A20" s="25"/>
      <x:c r="B20" s="25"/>
      <x:c r="C20" s="25"/>
      <x:c r="D20" s="25"/>
      <x:c r="E20" s="25"/>
      <x:c r="F20" s="25"/>
    </x:row>
  </x:sheetData>
  <x:mergeCells>
    <x:mergeCell ref="A1:F2"/>
  </x:mergeCells>
  <x:pageMargins left="0.7" right="0.7" top="0.75" bottom="0.75" header="0.3" footer="0.3"/>
  <x:tableParts count="1">
    <x:tablePart xmlns:r="http://schemas.openxmlformats.org/officeDocument/2006/relationships" r:id="R01e46f1a02f24c7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9.630000114440918" hidden="0" customWidth="1"/>
    <x:col min="2" max="2" width="13.880000114440918" hidden="0" customWidth="1"/>
    <x:col min="3" max="3" width="9.75" hidden="0" customWidth="1"/>
    <x:col min="4" max="4" width="14.5" hidden="0" customWidth="1"/>
    <x:col min="5" max="5" width="10.880000114440918" hidden="0" customWidth="1"/>
    <x:col min="6" max="6" width="8.75" hidden="0" customWidth="1"/>
    <x:col min="7" max="7" width="6.380000114440918" hidden="0" customWidth="1"/>
    <x:col min="8" max="8" width="8.130000114440918" hidden="0" customWidth="1"/>
    <x:col min="9" max="9" width="13.380000114440918" hidden="0" customWidth="1"/>
    <x:col min="10" max="10" width="8.5" hidden="0" customWidth="1"/>
    <x:col min="11" max="11" width="12.5" hidden="0" customWidth="1"/>
    <x:col min="12" max="12" width="10.75" hidden="0" customWidth="1"/>
    <x:col min="13" max="13" width="7.130000114440918" hidden="0" customWidth="1"/>
    <x:col min="14" max="14" width="11.630000114440918" hidden="0" customWidth="1"/>
  </x:cols>
  <x:sheetData>
    <x:row r="1">
      <x:c r="A1" s="13" t="str">
        <x:v>Rank médio</x:v>
      </x:c>
      <x:c r="B1" s="13" t="str">
        <x:v>Score balanceado</x:v>
      </x:c>
      <x:c r="C1" s="13" t="str">
        <x:v>Score ajuste</x:v>
      </x:c>
      <x:c r="D1" s="13" t="str">
        <x:v>Score confirmação</x:v>
      </x:c>
      <x:c r="E1" s="13" t="str">
        <x:v>Score recente</x:v>
      </x:c>
      <x:c r="F1" s="13" t="str">
        <x:v>Score total</x:v>
      </x:c>
      <x:c r="G1" s="13" t="str">
        <x:v>K inicial</x:v>
      </x:c>
      <x:c r="H1" s="13" t="str">
        <x:v>K máximo</x:v>
      </x:c>
      <x:c r="I1" s="13" t="str">
        <x:v>Vizinhos efetivos</x:v>
      </x:c>
      <x:c r="J1" s="13" t="str">
        <x:v>Peso físico</x:v>
      </x:c>
      <x:c r="K1" s="13" t="str">
        <x:v>Peso geográfico</x:v>
      </x:c>
      <x:c r="L1" s="13" t="str">
        <x:v>Peso máximo</x:v>
      </x:c>
      <x:c r="M1" s="13" t="str">
        <x:v>Potência</x:v>
      </x:c>
      <x:c r="N1" s="13" t="str">
        <x:v>Limiar robusto</x:v>
      </x:c>
    </x:row>
    <x:row r="2">
      <x:c r="A2" s="38" t="n">
        <x:v>5.75</x:v>
      </x:c>
      <x:c r="B2" s="20" t="n">
        <x:v>0.3604548175820052</x:v>
      </x:c>
      <x:c r="C2" s="20" t="n">
        <x:v>0.34756401669554465</x:v>
      </x:c>
      <x:c r="D2" s="20" t="n">
        <x:v>0.35291275114813264</x:v>
      </x:c>
      <x:c r="E2" s="20" t="n">
        <x:v>0.38960062336972257</x:v>
      </x:c>
      <x:c r="F2" s="20" t="n">
        <x:v>0.34094000943769887</x:v>
      </x:c>
      <x:c r="G2" t="n">
        <x:v>12</x:v>
      </x:c>
      <x:c r="H2" t="n">
        <x:v>25</x:v>
      </x:c>
      <x:c r="I2" s="36" t="n">
        <x:v>11</x:v>
      </x:c>
      <x:c r="J2" s="18" t="n">
        <x:v>0.45</x:v>
      </x:c>
      <x:c r="K2" s="18" t="n">
        <x:v>0.55</x:v>
      </x:c>
      <x:c r="L2" s="18" t="n">
        <x:v>0.25</x:v>
      </x:c>
      <x:c r="M2" s="38" t="n">
        <x:v>0.35</x:v>
      </x:c>
      <x:c r="N2" s="38" t="n">
        <x:v>1.25</x:v>
      </x:c>
    </x:row>
    <x:row r="3">
      <x:c r="A3" s="38" t="n">
        <x:v>6.25</x:v>
      </x:c>
      <x:c r="B3" s="20" t="n">
        <x:v>0.36366768502892943</x:v>
      </x:c>
      <x:c r="C3" s="20" t="n">
        <x:v>0.3442165329637314</x:v>
      </x:c>
      <x:c r="D3" s="20" t="n">
        <x:v>0.3731872220243235</x:v>
      </x:c>
      <x:c r="E3" s="20" t="n">
        <x:v>0.38185221562813126</x:v>
      </x:c>
      <x:c r="F3" s="20" t="n">
        <x:v>0.34156273570223383</x:v>
      </x:c>
      <x:c r="G3" t="n">
        <x:v>7</x:v>
      </x:c>
      <x:c r="H3" t="n">
        <x:v>50</x:v>
      </x:c>
      <x:c r="I3" s="36" t="n">
        <x:v>12</x:v>
      </x:c>
      <x:c r="J3" s="18" t="n">
        <x:v>0.4</x:v>
      </x:c>
      <x:c r="K3" s="18" t="n">
        <x:v>0.6</x:v>
      </x:c>
      <x:c r="L3" s="18" t="n">
        <x:v>0.35</x:v>
      </x:c>
      <x:c r="M3" s="38" t="n">
        <x:v>0.35</x:v>
      </x:c>
      <x:c r="N3" s="38" t="n">
        <x:v>1</x:v>
      </x:c>
    </x:row>
    <x:row r="4">
      <x:c r="A4" s="38" t="n">
        <x:v>6.5</x:v>
      </x:c>
      <x:c r="B4" s="20" t="n">
        <x:v>0.3613374535593538</x:v>
      </x:c>
      <x:c r="C4" s="20" t="n">
        <x:v>0.3472392041134929</x:v>
      </x:c>
      <x:c r="D4" s="20" t="n">
        <x:v>0.36299229845890174</x:v>
      </x:c>
      <x:c r="E4" s="20" t="n">
        <x:v>0.3797716461620638</x:v>
      </x:c>
      <x:c r="F4" s="20" t="n">
        <x:v>0.3453021467518277</x:v>
      </x:c>
      <x:c r="G4" t="n">
        <x:v>9</x:v>
      </x:c>
      <x:c r="H4" t="n">
        <x:v>30</x:v>
      </x:c>
      <x:c r="I4" s="36" t="n">
        <x:v>11</x:v>
      </x:c>
      <x:c r="J4" s="18" t="n">
        <x:v>0.35</x:v>
      </x:c>
      <x:c r="K4" s="18" t="n">
        <x:v>0.65</x:v>
      </x:c>
      <x:c r="L4" s="18" t="n">
        <x:v>0.15</x:v>
      </x:c>
      <x:c r="M4" s="38" t="n">
        <x:v>0.5</x:v>
      </x:c>
      <x:c r="N4" s="38" t="n">
        <x:v>1</x:v>
      </x:c>
    </x:row>
    <x:row r="5">
      <x:c r="A5" s="38" t="n">
        <x:v>6.5</x:v>
      </x:c>
      <x:c r="B5" s="20" t="n">
        <x:v>0.36421977818804574</x:v>
      </x:c>
      <x:c r="C5" s="20" t="n">
        <x:v>0.34639667095489585</x:v>
      </x:c>
      <x:c r="D5" s="20" t="n">
        <x:v>0.36877638721735156</x:v>
      </x:c>
      <x:c r="E5" s="20" t="n">
        <x:v>0.38506952358506336</x:v>
      </x:c>
      <x:c r="F5" s="20" t="n">
        <x:v>0.3439333537817105</x:v>
      </x:c>
      <x:c r="G5" t="n">
        <x:v>7</x:v>
      </x:c>
      <x:c r="H5" t="n">
        <x:v>25</x:v>
      </x:c>
      <x:c r="I5" s="36" t="n">
        <x:v>13</x:v>
      </x:c>
      <x:c r="J5" s="18" t="n">
        <x:v>0.5</x:v>
      </x:c>
      <x:c r="K5" s="18" t="n">
        <x:v>0.5</x:v>
      </x:c>
      <x:c r="L5" s="18" t="n">
        <x:v>0.2</x:v>
      </x:c>
      <x:c r="M5" s="38" t="n">
        <x:v>0.35</x:v>
      </x:c>
      <x:c r="N5" s="38" t="n">
        <x:v>1.25</x:v>
      </x:c>
    </x:row>
    <x:row r="6">
      <x:c r="A6" s="38" t="n">
        <x:v>7.25</x:v>
      </x:c>
      <x:c r="B6" s="20" t="n">
        <x:v>0.3609297225603389</x:v>
      </x:c>
      <x:c r="C6" s="20" t="n">
        <x:v>0.34823292791494803</x:v>
      </x:c>
      <x:c r="D6" s="20" t="n">
        <x:v>0.35291275114813264</x:v>
      </x:c>
      <x:c r="E6" s="20" t="n">
        <x:v>0.38960062336972257</x:v>
      </x:c>
      <x:c r="F6" s="20" t="n">
        <x:v>0.3426456231099636</x:v>
      </x:c>
      <x:c r="G6" t="n">
        <x:v>5</x:v>
      </x:c>
      <x:c r="H6" t="n">
        <x:v>35</x:v>
      </x:c>
      <x:c r="I6" s="36" t="n">
        <x:v>11</x:v>
      </x:c>
      <x:c r="J6" s="18" t="n">
        <x:v>0.45</x:v>
      </x:c>
      <x:c r="K6" s="18" t="n">
        <x:v>0.55</x:v>
      </x:c>
      <x:c r="L6" s="18" t="n">
        <x:v>0.3</x:v>
      </x:c>
      <x:c r="M6" s="38" t="n">
        <x:v>0.35</x:v>
      </x:c>
      <x:c r="N6" s="38" t="n">
        <x:v>1.25</x:v>
      </x:c>
    </x:row>
    <x:row r="7">
      <x:c r="A7" s="38" t="n">
        <x:v>7.75</x:v>
      </x:c>
      <x:c r="B7" s="20" t="n">
        <x:v>0.36625521512517445</x:v>
      </x:c>
      <x:c r="C7" s="20" t="n">
        <x:v>0.33782374459270254</x:v>
      </x:c>
      <x:c r="D7" s="20" t="n">
        <x:v>0.3778840025325427</x:v>
      </x:c>
      <x:c r="E7" s="20" t="n">
        <x:v>0.3888002057398402</x:v>
      </x:c>
      <x:c r="F7" s="20" t="n">
        <x:v>0.3434260186245954</x:v>
      </x:c>
      <x:c r="G7" t="n">
        <x:v>9</x:v>
      </x:c>
      <x:c r="H7" t="n">
        <x:v>50</x:v>
      </x:c>
      <x:c r="I7" s="36" t="n">
        <x:v>13</x:v>
      </x:c>
      <x:c r="J7" s="18" t="n">
        <x:v>0.4</x:v>
      </x:c>
      <x:c r="K7" s="18" t="n">
        <x:v>0.6</x:v>
      </x:c>
      <x:c r="L7" s="18" t="n">
        <x:v>0.35</x:v>
      </x:c>
      <x:c r="M7" s="38" t="n">
        <x:v>0.35</x:v>
      </x:c>
      <x:c r="N7" s="38" t="n">
        <x:v>1</x:v>
      </x:c>
    </x:row>
    <x:row r="8">
      <x:c r="A8" s="38" t="n">
        <x:v>8.5</x:v>
      </x:c>
      <x:c r="B8" s="20" t="n">
        <x:v>0.36279623297708974</x:v>
      </x:c>
      <x:c r="C8" s="20" t="n">
        <x:v>0.34784651872212685</x:v>
      </x:c>
      <x:c r="D8" s="20" t="n">
        <x:v>0.35698768115291357</x:v>
      </x:c>
      <x:c r="E8" s="20" t="n">
        <x:v>0.3959577619140607</x:v>
      </x:c>
      <x:c r="F8" s="20" t="n">
        <x:v>0.33671648156286027</x:v>
      </x:c>
      <x:c r="G8" t="n">
        <x:v>12</x:v>
      </x:c>
      <x:c r="H8" t="n">
        <x:v>30</x:v>
      </x:c>
      <x:c r="I8" s="36" t="n">
        <x:v>12</x:v>
      </x:c>
      <x:c r="J8" s="18" t="n">
        <x:v>0.35</x:v>
      </x:c>
      <x:c r="K8" s="18" t="n">
        <x:v>0.65</x:v>
      </x:c>
      <x:c r="L8" s="18" t="n">
        <x:v>0.35</x:v>
      </x:c>
      <x:c r="M8" s="38" t="n">
        <x:v>0.35</x:v>
      </x:c>
      <x:c r="N8" s="38" t="n">
        <x:v>1.5</x:v>
      </x:c>
    </x:row>
    <x:row r="9">
      <x:c r="A9" s="38" t="n">
        <x:v>9.75</x:v>
      </x:c>
      <x:c r="B9" s="20" t="n">
        <x:v>0.36561940099724033</x:v>
      </x:c>
      <x:c r="C9" s="20" t="n">
        <x:v>0.34732159330978246</x:v>
      </x:c>
      <x:c r="D9" s="20" t="n">
        <x:v>0.35223193990412077</x:v>
      </x:c>
      <x:c r="E9" s="20" t="n">
        <x:v>0.40581531412427174</x:v>
      </x:c>
      <x:c r="F9" s="20" t="n">
        <x:v>0.34370453063383044</x:v>
      </x:c>
      <x:c r="G9" t="n">
        <x:v>15</x:v>
      </x:c>
      <x:c r="H9" t="n">
        <x:v>20</x:v>
      </x:c>
      <x:c r="I9" s="36" t="n">
        <x:v>8</x:v>
      </x:c>
      <x:c r="J9" s="18" t="n">
        <x:v>0.6</x:v>
      </x:c>
      <x:c r="K9" s="18" t="n">
        <x:v>0.4</x:v>
      </x:c>
      <x:c r="L9" s="18" t="n">
        <x:v>0.35</x:v>
      </x:c>
      <x:c r="M9" s="38" t="n">
        <x:v>0.65</x:v>
      </x:c>
      <x:c r="N9" s="38" t="n">
        <x:v>1.25</x:v>
      </x:c>
    </x:row>
    <x:row r="10">
      <x:c r="A10" s="38" t="n">
        <x:v>10</x:v>
      </x:c>
      <x:c r="B10" s="20" t="n">
        <x:v>0.3638341804979278</x:v>
      </x:c>
      <x:c r="C10" s="20" t="n">
        <x:v>0.349227831018267</x:v>
      </x:c>
      <x:c r="D10" s="20" t="n">
        <x:v>0.3560823060849908</x:v>
      </x:c>
      <x:c r="E10" s="20" t="n">
        <x:v>0.39640258824027014</x:v>
      </x:c>
      <x:c r="F10" s="20" t="n">
        <x:v>0.3412157299834805</x:v>
      </x:c>
      <x:c r="G10" t="n">
        <x:v>5</x:v>
      </x:c>
      <x:c r="H10" t="n">
        <x:v>20</x:v>
      </x:c>
      <x:c r="I10" s="36" t="n">
        <x:v>11</x:v>
      </x:c>
      <x:c r="J10" s="18" t="n">
        <x:v>0.35</x:v>
      </x:c>
      <x:c r="K10" s="18" t="n">
        <x:v>0.65</x:v>
      </x:c>
      <x:c r="L10" s="18" t="n">
        <x:v>0.35</x:v>
      </x:c>
      <x:c r="M10" s="38" t="n">
        <x:v>0.35</x:v>
      </x:c>
      <x:c r="N10" s="38" t="n">
        <x:v>2</x:v>
      </x:c>
    </x:row>
    <x:row r="11">
      <x:c r="A11" s="38" t="n">
        <x:v>10.25</x:v>
      </x:c>
      <x:c r="B11" s="20" t="n">
        <x:v>0.3640403664558385</x:v>
      </x:c>
      <x:c r="C11" s="20" t="n">
        <x:v>0.3510212096166366</x:v>
      </x:c>
      <x:c r="D11" s="20" t="n">
        <x:v>0.3637286521909596</x:v>
      </x:c>
      <x:c r="E11" s="20" t="n">
        <x:v>0.38558586708750126</x:v>
      </x:c>
      <x:c r="F11" s="20" t="n">
        <x:v>0.34520884374486444</x:v>
      </x:c>
      <x:c r="G11" t="n">
        <x:v>12</x:v>
      </x:c>
      <x:c r="H11" t="n">
        <x:v>40</x:v>
      </x:c>
      <x:c r="I11" s="36" t="n">
        <x:v>9</x:v>
      </x:c>
      <x:c r="J11" s="18" t="n">
        <x:v>0.35</x:v>
      </x:c>
      <x:c r="K11" s="18" t="n">
        <x:v>0.65</x:v>
      </x:c>
      <x:c r="L11" s="18" t="n">
        <x:v>0.3</x:v>
      </x:c>
      <x:c r="M11" s="38" t="n">
        <x:v>0.65</x:v>
      </x:c>
      <x:c r="N11" s="38" t="n">
        <x:v>1.25</x:v>
      </x:c>
    </x:row>
    <x:row r="12">
      <x:c r="A12" s="38" t="n">
        <x:v>12.25</x:v>
      </x:c>
      <x:c r="B12" s="20" t="n">
        <x:v>0.36373720918541563</x:v>
      </x:c>
      <x:c r="C12" s="20" t="n">
        <x:v>0.3525194596756794</x:v>
      </x:c>
      <x:c r="D12" s="20" t="n">
        <x:v>0.3568289398498465</x:v>
      </x:c>
      <x:c r="E12" s="20" t="n">
        <x:v>0.3898420232401821</x:v>
      </x:c>
      <x:c r="F12" s="20" t="n">
        <x:v>0.34616014161635583</x:v>
      </x:c>
      <x:c r="G12" t="n">
        <x:v>9</x:v>
      </x:c>
      <x:c r="H12" t="n">
        <x:v>25</x:v>
      </x:c>
      <x:c r="I12" s="36" t="n">
        <x:v>11</x:v>
      </x:c>
      <x:c r="J12" s="18" t="n">
        <x:v>0.4</x:v>
      </x:c>
      <x:c r="K12" s="18" t="n">
        <x:v>0.6</x:v>
      </x:c>
      <x:c r="L12" s="18" t="n">
        <x:v>0.15</x:v>
      </x:c>
      <x:c r="M12" s="38" t="n">
        <x:v>0.35</x:v>
      </x:c>
      <x:c r="N12" s="38" t="n">
        <x:v>1.5</x:v>
      </x:c>
    </x:row>
    <x:row r="13">
      <x:c r="A13" s="38" t="n">
        <x:v>12.5</x:v>
      </x:c>
      <x:c r="B13" s="20" t="n">
        <x:v>0.364622405181058</x:v>
      </x:c>
      <x:c r="C13" s="20" t="n">
        <x:v>0.3521241358098711</x:v>
      </x:c>
      <x:c r="D13" s="20" t="n">
        <x:v>0.3524525364601891</x:v>
      </x:c>
      <x:c r="E13" s="20" t="n">
        <x:v>0.39417819347416855</x:v>
      </x:c>
      <x:c r="F13" s="20" t="n">
        <x:v>0.35104179519388234</x:v>
      </x:c>
      <x:c r="G13" t="n">
        <x:v>5</x:v>
      </x:c>
      <x:c r="H13" t="n">
        <x:v>35</x:v>
      </x:c>
      <x:c r="I13" s="36" t="n">
        <x:v>12</x:v>
      </x:c>
      <x:c r="J13" s="18" t="n">
        <x:v>0.6</x:v>
      </x:c>
      <x:c r="K13" s="18" t="n">
        <x:v>0.4</x:v>
      </x:c>
      <x:c r="L13" s="18" t="n">
        <x:v>0.25</x:v>
      </x:c>
      <x:c r="M13" s="38" t="n">
        <x:v>0.75</x:v>
      </x:c>
      <x:c r="N13" s="38" t="n">
        <x:v>1</x:v>
      </x:c>
    </x:row>
    <x:row r="14">
      <x:c r="A14" s="38" t="n">
        <x:v>12.75</x:v>
      </x:c>
      <x:c r="B14" s="20" t="n">
        <x:v>0.3746091540532407</x:v>
      </x:c>
      <x:c r="C14" s="20" t="n">
        <x:v>0.3434056816212227</x:v>
      </x:c>
      <x:c r="D14" s="20" t="n">
        <x:v>0.3962550906414798</x:v>
      </x:c>
      <x:c r="E14" s="20" t="n">
        <x:v>0.38936763309949923</x:v>
      </x:c>
      <x:c r="F14" s="20" t="n">
        <x:v>0.35120600303351224</x:v>
      </x:c>
      <x:c r="G14" t="n">
        <x:v>5</x:v>
      </x:c>
      <x:c r="H14" t="n">
        <x:v>50</x:v>
      </x:c>
      <x:c r="I14" s="36" t="n">
        <x:v>12</x:v>
      </x:c>
      <x:c r="J14" s="18" t="n">
        <x:v>0.4</x:v>
      </x:c>
      <x:c r="K14" s="18" t="n">
        <x:v>0.6</x:v>
      </x:c>
      <x:c r="L14" s="18" t="n">
        <x:v>0.15</x:v>
      </x:c>
      <x:c r="M14" s="38" t="n">
        <x:v>0.75</x:v>
      </x:c>
      <x:c r="N14" s="38" t="n">
        <x:v>1.25</x:v>
      </x:c>
    </x:row>
    <x:row r="15">
      <x:c r="A15" s="38" t="n">
        <x:v>13.25</x:v>
      </x:c>
      <x:c r="B15" s="20" t="n">
        <x:v>0.369650274812913</x:v>
      </x:c>
      <x:c r="C15" s="20" t="n">
        <x:v>0.3490693438082903</x:v>
      </x:c>
      <x:c r="D15" s="20" t="n">
        <x:v>0.3810064890738847</x:v>
      </x:c>
      <x:c r="E15" s="20" t="n">
        <x:v>0.3876691993816079</x:v>
      </x:c>
      <x:c r="F15" s="20" t="n">
        <x:v>0.3461684975730361</x:v>
      </x:c>
      <x:c r="G15" t="n">
        <x:v>9</x:v>
      </x:c>
      <x:c r="H15" t="n">
        <x:v>20</x:v>
      </x:c>
      <x:c r="I15" s="36" t="n">
        <x:v>12</x:v>
      </x:c>
      <x:c r="J15" s="18" t="n">
        <x:v>0.4</x:v>
      </x:c>
      <x:c r="K15" s="18" t="n">
        <x:v>0.6</x:v>
      </x:c>
      <x:c r="L15" s="18" t="n">
        <x:v>0.2</x:v>
      </x:c>
      <x:c r="M15" s="38" t="n">
        <x:v>0.35</x:v>
      </x:c>
      <x:c r="N15" s="38" t="n">
        <x:v>1.5</x:v>
      </x:c>
    </x:row>
    <x:row r="16">
      <x:c r="A16" s="38" t="n">
        <x:v>14.25</x:v>
      </x:c>
      <x:c r="B16" s="20" t="n">
        <x:v>0.3737332790814814</x:v>
      </x:c>
      <x:c r="C16" s="20" t="n">
        <x:v>0.3426717125693527</x:v>
      </x:c>
      <x:c r="D16" s="20" t="n">
        <x:v>0.38763058548626766</x:v>
      </x:c>
      <x:c r="E16" s="20" t="n">
        <x:v>0.3954736968528815</x:v>
      </x:c>
      <x:c r="F16" s="20" t="n">
        <x:v>0.35133825932933077</x:v>
      </x:c>
      <x:c r="G16" t="n">
        <x:v>15</x:v>
      </x:c>
      <x:c r="H16" t="n">
        <x:v>40</x:v>
      </x:c>
      <x:c r="I16" s="36" t="n">
        <x:v>11</x:v>
      </x:c>
      <x:c r="J16" s="18" t="n">
        <x:v>0.35</x:v>
      </x:c>
      <x:c r="K16" s="18" t="n">
        <x:v>0.65</x:v>
      </x:c>
      <x:c r="L16" s="18" t="n">
        <x:v>0.3</x:v>
      </x:c>
      <x:c r="M16" s="38" t="n">
        <x:v>1</x:v>
      </x:c>
      <x:c r="N16" s="38" t="n">
        <x:v>1.25</x:v>
      </x:c>
    </x:row>
    <x:row r="17">
      <x:c r="A17" s="38" t="n">
        <x:v>14.75</x:v>
      </x:c>
      <x:c r="B17" s="20" t="n">
        <x:v>0.3694570727289606</x:v>
      </x:c>
      <x:c r="C17" s="20" t="n">
        <x:v>0.3500935349836519</x:v>
      </x:c>
      <x:c r="D17" s="20" t="n">
        <x:v>0.3700468457992357</x:v>
      </x:c>
      <x:c r="E17" s="20" t="n">
        <x:v>0.3915755407415734</x:v>
      </x:c>
      <x:c r="F17" s="20" t="n">
        <x:v>0.3547582488499377</x:v>
      </x:c>
      <x:c r="G17" t="n">
        <x:v>7</x:v>
      </x:c>
      <x:c r="H17" t="n">
        <x:v>35</x:v>
      </x:c>
      <x:c r="I17" s="36" t="n">
        <x:v>11</x:v>
      </x:c>
      <x:c r="J17" s="18" t="n">
        <x:v>0.5</x:v>
      </x:c>
      <x:c r="K17" s="18" t="n">
        <x:v>0.5</x:v>
      </x:c>
      <x:c r="L17" s="18" t="n">
        <x:v>0.35</x:v>
      </x:c>
      <x:c r="M17" s="38" t="n">
        <x:v>0.75</x:v>
      </x:c>
      <x:c r="N17" s="38" t="n">
        <x:v>1</x:v>
      </x:c>
    </x:row>
    <x:row r="18">
      <x:c r="A18" s="38" t="n">
        <x:v>15</x:v>
      </x:c>
      <x:c r="B18" s="20" t="n">
        <x:v>0.3714818484935013</x:v>
      </x:c>
      <x:c r="C18" s="20" t="n">
        <x:v>0.34970306774802107</x:v>
      </x:c>
      <x:c r="D18" s="20" t="n">
        <x:v>0.36964501272321615</x:v>
      </x:c>
      <x:c r="E18" s="20" t="n">
        <x:v>0.4050187901329253</x:v>
      </x:c>
      <x:c r="F18" s="20" t="n">
        <x:v>0.34571047043527303</x:v>
      </x:c>
      <x:c r="G18" t="n">
        <x:v>12</x:v>
      </x:c>
      <x:c r="H18" t="n">
        <x:v>25</x:v>
      </x:c>
      <x:c r="I18" s="36" t="n">
        <x:v>12</x:v>
      </x:c>
      <x:c r="J18" s="18" t="n">
        <x:v>0.35</x:v>
      </x:c>
      <x:c r="K18" s="18" t="n">
        <x:v>0.65</x:v>
      </x:c>
      <x:c r="L18" s="18" t="n">
        <x:v>0.2</x:v>
      </x:c>
      <x:c r="M18" s="38" t="n">
        <x:v>0.75</x:v>
      </x:c>
      <x:c r="N18" s="38" t="n">
        <x:v>1.75</x:v>
      </x:c>
    </x:row>
    <x:row r="19">
      <x:c r="A19" s="38" t="n">
        <x:v>15.75</x:v>
      </x:c>
      <x:c r="B19" s="20" t="n">
        <x:v>0.37513281142395866</x:v>
      </x:c>
      <x:c r="C19" s="20" t="n">
        <x:v>0.34645310860191986</x:v>
      </x:c>
      <x:c r="D19" s="20" t="n">
        <x:v>0.3868684335013454</x:v>
      </x:c>
      <x:c r="E19" s="20" t="n">
        <x:v>0.3951072585067238</x:v>
      </x:c>
      <x:c r="F19" s="20" t="n">
        <x:v>0.35624741050576963</x:v>
      </x:c>
      <x:c r="G19" t="n">
        <x:v>15</x:v>
      </x:c>
      <x:c r="H19" t="n">
        <x:v>20</x:v>
      </x:c>
      <x:c r="I19" s="36" t="n">
        <x:v>13</x:v>
      </x:c>
      <x:c r="J19" s="18" t="n">
        <x:v>0.4</x:v>
      </x:c>
      <x:c r="K19" s="18" t="n">
        <x:v>0.6</x:v>
      </x:c>
      <x:c r="L19" s="18" t="n">
        <x:v>0.2</x:v>
      </x:c>
      <x:c r="M19" s="38" t="n">
        <x:v>1</x:v>
      </x:c>
      <x:c r="N19" s="38" t="n">
        <x:v>1</x:v>
      </x:c>
    </x:row>
    <x:row r="20">
      <x:c r="A20" s="38" t="n">
        <x:v>16</x:v>
      </x:c>
      <x:c r="B20" s="20" t="n">
        <x:v>0.3736180312867711</x:v>
      </x:c>
      <x:c r="C20" s="20" t="n">
        <x:v>0.3485038071123529</x:v>
      </x:c>
      <x:c r="D20" s="20" t="n">
        <x:v>0.3772149755130752</x:v>
      </x:c>
      <x:c r="E20" s="20" t="n">
        <x:v>0.4024909856334345</x:v>
      </x:c>
      <x:c r="F20" s="20" t="n">
        <x:v>0.3500274076017382</x:v>
      </x:c>
      <x:c r="G20" t="n">
        <x:v>15</x:v>
      </x:c>
      <x:c r="H20" t="n">
        <x:v>35</x:v>
      </x:c>
      <x:c r="I20" s="36" t="n">
        <x:v>12</x:v>
      </x:c>
      <x:c r="J20" s="18" t="n">
        <x:v>0.45</x:v>
      </x:c>
      <x:c r="K20" s="18" t="n">
        <x:v>0.55</x:v>
      </x:c>
      <x:c r="L20" s="18" t="n">
        <x:v>0.3</x:v>
      </x:c>
      <x:c r="M20" s="38" t="n">
        <x:v>0.65</x:v>
      </x:c>
      <x:c r="N20" s="38" t="n">
        <x:v>1</x:v>
      </x:c>
    </x:row>
    <x:row r="21">
      <x:c r="A21" s="38" t="n">
        <x:v>16.75</x:v>
      </x:c>
      <x:c r="B21" s="20" t="n">
        <x:v>0.37158021713472167</x:v>
      </x:c>
      <x:c r="C21" s="20" t="n">
        <x:v>0.35338050451156744</x:v>
      </x:c>
      <x:c r="D21" s="20" t="n">
        <x:v>0.3719563876126101</x:v>
      </x:c>
      <x:c r="E21" s="20" t="n">
        <x:v>0.39408104252708265</x:v>
      </x:c>
      <x:c r="F21" s="20" t="n">
        <x:v>0.355464435952502</x:v>
      </x:c>
      <x:c r="G21" t="n">
        <x:v>12</x:v>
      </x:c>
      <x:c r="H21" t="n">
        <x:v>30</x:v>
      </x:c>
      <x:c r="I21" s="36" t="n">
        <x:v>13</x:v>
      </x:c>
      <x:c r="J21" s="18" t="n">
        <x:v>0.65</x:v>
      </x:c>
      <x:c r="K21" s="18" t="n">
        <x:v>0.35</x:v>
      </x:c>
      <x:c r="L21" s="18" t="n">
        <x:v>0.3</x:v>
      </x:c>
      <x:c r="M21" s="38" t="n">
        <x:v>0.75</x:v>
      </x:c>
      <x:c r="N21" s="38" t="n">
        <x:v>1</x:v>
      </x:c>
    </x:row>
    <x:row r="22">
      <x:c r="A22" s="38" t="n">
        <x:v>17.75</x:v>
      </x:c>
      <x:c r="B22" s="20" t="n">
        <x:v>0.37632450762862724</x:v>
      </x:c>
      <x:c r="C22" s="20" t="n">
        <x:v>0.34821196228189577</x:v>
      </x:c>
      <x:c r="D22" s="20" t="n">
        <x:v>0.38924182105823274</x:v>
      </x:c>
      <x:c r="E22" s="20" t="n">
        <x:v>0.39782499507864877</x:v>
      </x:c>
      <x:c r="F22" s="20" t="n">
        <x:v>0.35281035165591845</x:v>
      </x:c>
      <x:c r="G22" t="n">
        <x:v>5</x:v>
      </x:c>
      <x:c r="H22" t="n">
        <x:v>30</x:v>
      </x:c>
      <x:c r="I22" s="36" t="n">
        <x:v>12</x:v>
      </x:c>
      <x:c r="J22" s="18" t="n">
        <x:v>0.45</x:v>
      </x:c>
      <x:c r="K22" s="18" t="n">
        <x:v>0.55</x:v>
      </x:c>
      <x:c r="L22" s="18" t="n">
        <x:v>0.25</x:v>
      </x:c>
      <x:c r="M22" s="38" t="n">
        <x:v>0.5</x:v>
      </x:c>
      <x:c r="N22" s="38" t="n">
        <x:v>1.5</x:v>
      </x:c>
    </x:row>
    <x:row r="23">
      <x:c r="A23" s="38" t="n">
        <x:v>20.75</x:v>
      </x:c>
      <x:c r="B23" s="20" t="n">
        <x:v>0.3769432073578657</x:v>
      </x:c>
      <x:c r="C23" s="20" t="n">
        <x:v>0.35094047324941596</x:v>
      </x:c>
      <x:c r="D23" s="20" t="n">
        <x:v>0.38059117875655335</x:v>
      </x:c>
      <x:c r="E23" s="20" t="n">
        <x:v>0.4034130124326881</x:v>
      </x:c>
      <x:c r="F23" s="20" t="n">
        <x:v>0.35776927675605025</x:v>
      </x:c>
      <x:c r="G23" t="n">
        <x:v>15</x:v>
      </x:c>
      <x:c r="H23" t="n">
        <x:v>40</x:v>
      </x:c>
      <x:c r="I23" s="36" t="n">
        <x:v>11</x:v>
      </x:c>
      <x:c r="J23" s="18" t="n">
        <x:v>0.45</x:v>
      </x:c>
      <x:c r="K23" s="18" t="n">
        <x:v>0.55</x:v>
      </x:c>
      <x:c r="L23" s="18" t="n">
        <x:v>0.25</x:v>
      </x:c>
      <x:c r="M23" s="38" t="n">
        <x:v>1</x:v>
      </x:c>
      <x:c r="N23" s="38" t="n">
        <x:v>1</x:v>
      </x:c>
    </x:row>
    <x:row r="24">
      <x:c r="A24" s="38" t="n">
        <x:v>21.25</x:v>
      </x:c>
      <x:c r="B24" s="20" t="n">
        <x:v>0.37595560423669017</x:v>
      </x:c>
      <x:c r="C24" s="20" t="n">
        <x:v>0.3537053001692113</x:v>
      </x:c>
      <x:c r="D24" s="20" t="n">
        <x:v>0.3795534070470928</x:v>
      </x:c>
      <x:c r="E24" s="20" t="n">
        <x:v>0.3994170984784314</x:v>
      </x:c>
      <x:c r="F24" s="20" t="n">
        <x:v>0.35761696272595306</x:v>
      </x:c>
      <x:c r="G24" t="n">
        <x:v>15</x:v>
      </x:c>
      <x:c r="H24" t="n">
        <x:v>20</x:v>
      </x:c>
      <x:c r="I24" s="36" t="n">
        <x:v>11</x:v>
      </x:c>
      <x:c r="J24" s="18" t="n">
        <x:v>0.45</x:v>
      </x:c>
      <x:c r="K24" s="18" t="n">
        <x:v>0.55</x:v>
      </x:c>
      <x:c r="L24" s="18" t="n">
        <x:v>0.25</x:v>
      </x:c>
      <x:c r="M24" s="38" t="n">
        <x:v>1</x:v>
      </x:c>
      <x:c r="N24" s="38" t="n">
        <x:v>1</x:v>
      </x:c>
    </x:row>
    <x:row r="25">
      <x:c r="A25" s="38" t="n">
        <x:v>21.25</x:v>
      </x:c>
      <x:c r="B25" s="20" t="n">
        <x:v>0.3770273978436822</x:v>
      </x:c>
      <x:c r="C25" s="20" t="n">
        <x:v>0.3536969194389851</x:v>
      </x:c>
      <x:c r="D25" s="20" t="n">
        <x:v>0.3771995713234549</x:v>
      </x:c>
      <x:c r="E25" s="20" t="n">
        <x:v>0.40601804590462404</x:v>
      </x:c>
      <x:c r="F25" s="20" t="n">
        <x:v>0.3566136439373077</x:v>
      </x:c>
      <x:c r="G25" t="n">
        <x:v>15</x:v>
      </x:c>
      <x:c r="H25" t="n">
        <x:v>50</x:v>
      </x:c>
      <x:c r="I25" s="36" t="n">
        <x:v>11</x:v>
      </x:c>
      <x:c r="J25" s="18" t="n">
        <x:v>0.4</x:v>
      </x:c>
      <x:c r="K25" s="18" t="n">
        <x:v>0.6</x:v>
      </x:c>
      <x:c r="L25" s="18" t="n">
        <x:v>0.35</x:v>
      </x:c>
      <x:c r="M25" s="38" t="n">
        <x:v>0.75</x:v>
      </x:c>
      <x:c r="N25" s="38" t="n">
        <x:v>2</x:v>
      </x:c>
    </x:row>
    <x:row r="26">
      <x:c r="A26" s="38" t="n">
        <x:v>22.25</x:v>
      </x:c>
      <x:c r="B26" s="20" t="n">
        <x:v>0.40407096068824033</x:v>
      </x:c>
      <x:c r="C26" s="20" t="n">
        <x:v>0.4051602367747599</x:v>
      </x:c>
      <x:c r="D26" s="20" t="n">
        <x:v>0.37301911281707645</x:v>
      </x:c>
      <x:c r="E26" s="20" t="n">
        <x:v>0.4384375598079839</x:v>
      </x:c>
      <x:c r="F26" s="20" t="n">
        <x:v>0.39800955772885116</x:v>
      </x:c>
      <x:c r="G26" t="n">
        <x:v>7</x:v>
      </x:c>
      <x:c r="H26" t="n">
        <x:v>30</x:v>
      </x:c>
      <x:c r="I26" s="36" t="n">
        <x:v>5</x:v>
      </x:c>
      <x:c r="J26" s="18" t="n">
        <x:v>0.6666666666666666</x:v>
      </x:c>
      <x:c r="K26" s="18" t="n">
        <x:v>0.3333333333333333</x:v>
      </x:c>
      <x:c r="L26" s="18" t="n">
        <x:v>0.3</x:v>
      </x:c>
      <x:c r="M26" s="38" t="n">
        <x:v>1</x:v>
      </x:c>
      <x:c r="N26" s="38" t="n">
        <x:v>2.5</x:v>
      </x:c>
    </x:row>
  </x:sheetData>
  <x:pageMargins left="0.7" right="0.7" top="0.75" bottom="0.75" header="0.3" footer="0.3"/>
  <x:tableParts count="1">
    <x:tablePart xmlns:r="http://schemas.openxmlformats.org/officeDocument/2006/relationships" r:id="R171104c5fd9f4433"/>
  </x:tableParts>
</x:worksheet>
</file>